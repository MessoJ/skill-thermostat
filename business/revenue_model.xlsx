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 Model" sheetId="2" state="visible" r:id="rId4"/>
    <sheet name="Gra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<sst xmlns="http://schemas.openxmlformats.org/spreadsheetml/2006/main" count="129" uniqueCount="119">
  <si>
    <t xml:space="preserve">Skill thermostat: revenue model assumptions</t>
  </si>
  <si>
    <t xml:space="preserve">Every number here is an assumption I chose for illustration, not market data. Blue = input you can change. Yellow = the assumptions that move the result most. Years are after a successful human pilot.</t>
  </si>
  <si>
    <t xml:space="preserve">Assumption</t>
  </si>
  <si>
    <t xml:space="preserve">Year 1</t>
  </si>
  <si>
    <t xml:space="preserve">Year 2</t>
  </si>
  <si>
    <t xml:space="preserve">Year 3</t>
  </si>
  <si>
    <t xml:space="preserve">Note</t>
  </si>
  <si>
    <t xml:space="preserve">Paid pilots (count)</t>
  </si>
  <si>
    <t xml:space="preserve">Fee-based pilots run for a customer. Early revenue.</t>
  </si>
  <si>
    <t xml:space="preserve">Fee per pilot ($)</t>
  </si>
  <si>
    <t xml:space="preserve">Midpoint of an assumed $5k-$15k range.</t>
  </si>
  <si>
    <t xml:space="preserve">School customers (active)</t>
  </si>
  <si>
    <t xml:space="preserve">Bootcamps, departments, universities.</t>
  </si>
  <si>
    <t xml:space="preserve">Seats per school customer</t>
  </si>
  <si>
    <t xml:space="preserve">Students per customer.</t>
  </si>
  <si>
    <t xml:space="preserve">School price ($ per seat per month)</t>
  </si>
  <si>
    <t xml:space="preserve">Assumed.</t>
  </si>
  <si>
    <t xml:space="preserve">School months billed per year</t>
  </si>
  <si>
    <t xml:space="preserve">Assumed academic-term use.</t>
  </si>
  <si>
    <t xml:space="preserve">Firm customers (active)</t>
  </si>
  <si>
    <t xml:space="preserve">Employers with junior-staff programs.</t>
  </si>
  <si>
    <t xml:space="preserve">Seats per firm customer</t>
  </si>
  <si>
    <t xml:space="preserve">Junior staff covered.</t>
  </si>
  <si>
    <t xml:space="preserve">Firm price ($ per seat per month)</t>
  </si>
  <si>
    <t xml:space="preserve">Firm months billed per year</t>
  </si>
  <si>
    <t xml:space="preserve">Annual license.</t>
  </si>
  <si>
    <t xml:space="preserve">Grant income ($)</t>
  </si>
  <si>
    <t xml:space="preserve">Set to 0. See the Grants sheet; none of the verified calls is open and a fit today.</t>
  </si>
  <si>
    <t xml:space="preserve">Costs</t>
  </si>
  <si>
    <t xml:space="preserve">AI helper cost ($ per seat-month)</t>
  </si>
  <si>
    <t xml:space="preserve">Assumed model API cost per active seat-month if we host the helper.</t>
  </si>
  <si>
    <t xml:space="preserve">Share of seats on our hosted helper</t>
  </si>
  <si>
    <t xml:space="preserve">0% if customers bring their own AI account.</t>
  </si>
  <si>
    <t xml:space="preserve">Hosting and infrastructure ($/yr)</t>
  </si>
  <si>
    <t xml:space="preserve">Item-bank development ($/yr)</t>
  </si>
  <si>
    <t xml:space="preserve">Assumed. Calibrated exercises for each skill domain.</t>
  </si>
  <si>
    <t xml:space="preserve">Legal, patent and ethics ($/yr)</t>
  </si>
  <si>
    <t xml:space="preserve">Assumed. Founder pay is NOT included anywhere in this model.</t>
  </si>
  <si>
    <t xml:space="preserve">Sales and support (% of revenue)</t>
  </si>
  <si>
    <t xml:space="preserve">Risk</t>
  </si>
  <si>
    <t xml:space="preserve">Probability the human pilot shows a benefit</t>
  </si>
  <si>
    <t xml:space="preserve">Placeholder, not an estimate. Applied to school and firm subscription revenue only.</t>
  </si>
  <si>
    <t xml:space="preserve">Revenue, costs and result ($)</t>
  </si>
  <si>
    <t xml:space="preserve">All cells are formulas driven by the Assumptions sheet. Founder pay is excluded.</t>
  </si>
  <si>
    <t xml:space="preserve">Line</t>
  </si>
  <si>
    <t xml:space="preserve">3-year total</t>
  </si>
  <si>
    <t xml:space="preserve">Revenue</t>
  </si>
  <si>
    <t xml:space="preserve">Pilot fees</t>
  </si>
  <si>
    <t xml:space="preserve">School subscriptions</t>
  </si>
  <si>
    <t xml:space="preserve">Firm subscriptions</t>
  </si>
  <si>
    <t xml:space="preserve">Total revenue</t>
  </si>
  <si>
    <t xml:space="preserve">Grant income</t>
  </si>
  <si>
    <t xml:space="preserve">Paid seat-months</t>
  </si>
  <si>
    <t xml:space="preserve">AI helper cost</t>
  </si>
  <si>
    <t xml:space="preserve">Hosting and infrastructure</t>
  </si>
  <si>
    <t xml:space="preserve">Item-bank development</t>
  </si>
  <si>
    <t xml:space="preserve">Legal, patent and ethics</t>
  </si>
  <si>
    <t xml:space="preserve">Sales and support</t>
  </si>
  <si>
    <t xml:space="preserve">Total costs</t>
  </si>
  <si>
    <t xml:space="preserve">Result</t>
  </si>
  <si>
    <t xml:space="preserve">Result if the pilot succeeds (revenue + grants - costs)</t>
  </si>
  <si>
    <t xml:space="preserve">Risk-adjusted revenue</t>
  </si>
  <si>
    <t xml:space="preserve">Risk-adjusted result</t>
  </si>
  <si>
    <t xml:space="preserve">Risk-adjusted result recomputes sales and support on the risk-adjusted revenue. Costs other than sales and support are kept in full, since they are spent whether or not the pilot succeeds.</t>
  </si>
  <si>
    <t xml:space="preserve">Funding calls checked on 11 Oct 2026</t>
  </si>
  <si>
    <t xml:space="preserve">Read from each call's own page or a news summary of it. Confirm on the funder's site before relying on any line. None was both open and a clear fit for an individual in Kenya today.</t>
  </si>
  <si>
    <t xml:space="preserve">Program</t>
  </si>
  <si>
    <t xml:space="preserve">Funder</t>
  </si>
  <si>
    <t xml:space="preserve">Status (11 Oct 2026)</t>
  </si>
  <si>
    <t xml:space="preserve">Deadline</t>
  </si>
  <si>
    <t xml:space="preserve">Size</t>
  </si>
  <si>
    <t xml:space="preserve">Who can apply</t>
  </si>
  <si>
    <t xml:space="preserve">Fit for this project</t>
  </si>
  <si>
    <t xml:space="preserve">Source</t>
  </si>
  <si>
    <t xml:space="preserve">Humanity AI Open Call</t>
  </si>
  <si>
    <t xml:space="preserve">Humanity AI, run with Lever for Change</t>
  </si>
  <si>
    <t xml:space="preserve">Open</t>
  </si>
  <si>
    <t xml:space="preserve">21 Oct 2026</t>
  </si>
  <si>
    <t xml:space="preserve">$75k-$1M, up to 3 years</t>
  </si>
  <si>
    <t xml:space="preserve">US-based organizations, or US-based individuals working with a 501(c)(3) sponsor. Research-only projects are out of scope.</t>
  </si>
  <si>
    <t xml:space="preserve">Stretch. Needs a US partner or fiscal sponsor and a deployment framing for education or labor. Ten days left.</t>
  </si>
  <si>
    <t xml:space="preserve">https://opportunitiesforyouth.org/2026/09/14/humanity-ai-open-call-2026-grants-of-up-to-1-million-for-community-led-ai-initiatives/</t>
  </si>
  <si>
    <t xml:space="preserve">Educational Technology Innovation Grants 2026/27</t>
  </si>
  <si>
    <t xml:space="preserve">KENET (Kenya Education Network)</t>
  </si>
  <si>
    <t xml:space="preserve">Closed</t>
  </si>
  <si>
    <t xml:space="preserve">10 Jul 2026</t>
  </si>
  <si>
    <t xml:space="preserve">Not stated</t>
  </si>
  <si>
    <t xml:space="preserve">Lecturers with a PhD and 3+ years teaching the course at a Kenyan member university, with department and dean approval.</t>
  </si>
  <si>
    <t xml:space="preserve">Possible through a partner lecturer in the next cycle (AI in a foundational course, measured impact, shareable materials).</t>
  </si>
  <si>
    <t xml:space="preserve">https://www.kenet.or.ke/content/call-proposals-educational-technology-innovation-grants-20262027</t>
  </si>
  <si>
    <t xml:space="preserve">AI and Digital Technologies stream</t>
  </si>
  <si>
    <t xml:space="preserve">Science Granting Councils Initiative (SGCI)</t>
  </si>
  <si>
    <t xml:space="preserve">25 Sep 2026</t>
  </si>
  <si>
    <t xml:space="preserve">CA$50k-$300k per member, up to 36 months</t>
  </si>
  <si>
    <t xml:space="preserve">Consortia of 3+ institutions from 3 different eligible countries (Kenya is named).</t>
  </si>
  <si>
    <t xml:space="preserve">Needs a university-led consortium. Watch for a later round.</t>
  </si>
  <si>
    <t xml:space="preserve">https://www.ictworks.org/digital-technology-research-in-africa/</t>
  </si>
  <si>
    <t xml:space="preserve">Innovating Education in Africa 2026</t>
  </si>
  <si>
    <t xml:space="preserve">African Union (education, science and technology department)</t>
  </si>
  <si>
    <t xml:space="preserve">30 Apr 2026</t>
  </si>
  <si>
    <t xml:space="preserve">Up to $50k, three winners</t>
  </si>
  <si>
    <t xml:space="preserve">African Union citizens leading a registered organization with verifiable results. Past winners excluded.</t>
  </si>
  <si>
    <t xml:space="preserve">Fit after the pilot gives results and a registered entity exists. Check whether it runs again.</t>
  </si>
  <si>
    <t xml:space="preserve">https://opportunitiesforyouth.org/2026/04/02/apply-now-african-union-call-for-submissions-up-to-50000-grants-for-edtech-tvet-ai-and-skills-development/</t>
  </si>
  <si>
    <t xml:space="preserve">Kenya AI Accelerator Programme 2026</t>
  </si>
  <si>
    <t xml:space="preserve">MICDE, Technopolis Development Authority and UNDP Kenya</t>
  </si>
  <si>
    <t xml:space="preserve">6 Sep 2026</t>
  </si>
  <si>
    <t xml:space="preserve">Non-cash: AI compute and technical support</t>
  </si>
  <si>
    <t xml:space="preserve">Kenya-based institutions, startups and innovators, in public-service or green-tech pathways.</t>
  </si>
  <si>
    <t xml:space="preserve">Weak. Education is not one of the pathways. Check if it reruns.</t>
  </si>
  <si>
    <t xml:space="preserve">https://www.globalsouthopportunities.com/2026/08/26/kenya-32/</t>
  </si>
  <si>
    <t xml:space="preserve">External Researcher Access Program</t>
  </si>
  <si>
    <t xml:space="preserve">Anthropic</t>
  </si>
  <si>
    <t xml:space="preserve">Rolling, reviewed monthly (confirm the form is live)</t>
  </si>
  <si>
    <t xml:space="preserve">First Monday of each month</t>
  </si>
  <si>
    <t xml:space="preserve">About $1,000 in API credits</t>
  </si>
  <si>
    <t xml:space="preserve">Mainly alignment researchers on AI safety topics. Not available where Claude is not offered.</t>
  </si>
  <si>
    <t xml:space="preserve">Weak. The focus is alignment. Credits could cover helper API costs in the pilot if it qualifies.</t>
  </si>
  <si>
    <t xml:space="preserve">https://support.claude.com/en/articles/9125743-what-is-the-external-researcher-access-program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</si>
</sst>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\$#,##0.00;&quot;($&quot;#,##0.00\);\-"/>
    <numFmt numFmtId="168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3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3</v>
      </c>
      <c r="C5" s="5" t="n">
        <v>0</v>
      </c>
      <c r="D5" s="5" t="n">
        <v>0</v>
      </c>
      <c r="E5" s="6" t="s">
        <v>8</v>
      </c>
    </row>
    <row r="6" customFormat="false" ht="15" hidden="false" customHeight="false" outlineLevel="0" collapsed="false">
      <c r="A6" s="4" t="s">
        <v>9</v>
      </c>
      <c r="B6" s="7" t="n">
        <v>10000</v>
      </c>
      <c r="C6" s="7" t="n">
        <v>10000</v>
      </c>
      <c r="D6" s="7" t="n">
        <v>10000</v>
      </c>
      <c r="E6" s="6" t="s">
        <v>10</v>
      </c>
    </row>
    <row r="7" customFormat="false" ht="15" hidden="false" customHeight="false" outlineLevel="0" collapsed="false">
      <c r="A7" s="4" t="s">
        <v>11</v>
      </c>
      <c r="B7" s="5" t="n">
        <v>0</v>
      </c>
      <c r="C7" s="5" t="n">
        <v>10</v>
      </c>
      <c r="D7" s="5" t="n">
        <v>40</v>
      </c>
      <c r="E7" s="6" t="s">
        <v>12</v>
      </c>
    </row>
    <row r="8" customFormat="false" ht="15" hidden="false" customHeight="false" outlineLevel="0" collapsed="false">
      <c r="A8" s="4" t="s">
        <v>13</v>
      </c>
      <c r="B8" s="5" t="n">
        <v>200</v>
      </c>
      <c r="C8" s="5" t="n">
        <v>200</v>
      </c>
      <c r="D8" s="5" t="n">
        <v>200</v>
      </c>
      <c r="E8" s="6" t="s">
        <v>14</v>
      </c>
    </row>
    <row r="9" customFormat="false" ht="15" hidden="false" customHeight="false" outlineLevel="0" collapsed="false">
      <c r="A9" s="4" t="s">
        <v>15</v>
      </c>
      <c r="B9" s="8" t="n">
        <v>5</v>
      </c>
      <c r="C9" s="8" t="n">
        <v>5</v>
      </c>
      <c r="D9" s="8" t="n">
        <v>5</v>
      </c>
      <c r="E9" s="6" t="s">
        <v>16</v>
      </c>
    </row>
    <row r="10" customFormat="false" ht="15" hidden="false" customHeight="false" outlineLevel="0" collapsed="false">
      <c r="A10" s="4" t="s">
        <v>17</v>
      </c>
      <c r="B10" s="5" t="n">
        <v>6</v>
      </c>
      <c r="C10" s="5" t="n">
        <v>6</v>
      </c>
      <c r="D10" s="5" t="n">
        <v>6</v>
      </c>
      <c r="E10" s="6" t="s">
        <v>18</v>
      </c>
    </row>
    <row r="11" customFormat="false" ht="15" hidden="false" customHeight="false" outlineLevel="0" collapsed="false">
      <c r="A11" s="4" t="s">
        <v>19</v>
      </c>
      <c r="B11" s="5" t="n">
        <v>0</v>
      </c>
      <c r="C11" s="5" t="n">
        <v>5</v>
      </c>
      <c r="D11" s="5" t="n">
        <v>20</v>
      </c>
      <c r="E11" s="6" t="s">
        <v>20</v>
      </c>
    </row>
    <row r="12" customFormat="false" ht="15" hidden="false" customHeight="false" outlineLevel="0" collapsed="false">
      <c r="A12" s="4" t="s">
        <v>21</v>
      </c>
      <c r="B12" s="5" t="n">
        <v>100</v>
      </c>
      <c r="C12" s="5" t="n">
        <v>100</v>
      </c>
      <c r="D12" s="5" t="n">
        <v>100</v>
      </c>
      <c r="E12" s="6" t="s">
        <v>22</v>
      </c>
    </row>
    <row r="13" customFormat="false" ht="15" hidden="false" customHeight="false" outlineLevel="0" collapsed="false">
      <c r="A13" s="4" t="s">
        <v>23</v>
      </c>
      <c r="B13" s="8" t="n">
        <v>15</v>
      </c>
      <c r="C13" s="8" t="n">
        <v>15</v>
      </c>
      <c r="D13" s="8" t="n">
        <v>15</v>
      </c>
      <c r="E13" s="6" t="s">
        <v>16</v>
      </c>
    </row>
    <row r="14" customFormat="false" ht="15" hidden="false" customHeight="false" outlineLevel="0" collapsed="false">
      <c r="A14" s="4" t="s">
        <v>24</v>
      </c>
      <c r="B14" s="5" t="n">
        <v>12</v>
      </c>
      <c r="C14" s="5" t="n">
        <v>12</v>
      </c>
      <c r="D14" s="5" t="n">
        <v>12</v>
      </c>
      <c r="E14" s="6" t="s">
        <v>25</v>
      </c>
    </row>
    <row r="15" customFormat="false" ht="15" hidden="false" customHeight="false" outlineLevel="0" collapsed="false">
      <c r="A15" s="4" t="s">
        <v>26</v>
      </c>
      <c r="B15" s="9" t="n">
        <v>0</v>
      </c>
      <c r="C15" s="9" t="n">
        <v>0</v>
      </c>
      <c r="D15" s="9" t="n">
        <v>0</v>
      </c>
      <c r="E15" s="6" t="s">
        <v>27</v>
      </c>
    </row>
    <row r="17" customFormat="false" ht="15" hidden="false" customHeight="false" outlineLevel="0" collapsed="false">
      <c r="A17" s="10" t="s">
        <v>28</v>
      </c>
    </row>
    <row r="18" customFormat="false" ht="15" hidden="false" customHeight="false" outlineLevel="0" collapsed="false">
      <c r="A18" s="4" t="s">
        <v>29</v>
      </c>
      <c r="B18" s="11" t="n">
        <v>1</v>
      </c>
      <c r="C18" s="11" t="n">
        <v>1</v>
      </c>
      <c r="D18" s="11" t="n">
        <v>1</v>
      </c>
      <c r="E18" s="6" t="s">
        <v>30</v>
      </c>
    </row>
    <row r="19" customFormat="false" ht="15" hidden="false" customHeight="false" outlineLevel="0" collapsed="false">
      <c r="A19" s="4" t="s">
        <v>31</v>
      </c>
      <c r="B19" s="12" t="n">
        <v>0.5</v>
      </c>
      <c r="C19" s="12" t="n">
        <v>0.5</v>
      </c>
      <c r="D19" s="12" t="n">
        <v>0.5</v>
      </c>
      <c r="E19" s="6" t="s">
        <v>32</v>
      </c>
    </row>
    <row r="20" customFormat="false" ht="15" hidden="false" customHeight="false" outlineLevel="0" collapsed="false">
      <c r="A20" s="4" t="s">
        <v>33</v>
      </c>
      <c r="B20" s="9" t="n">
        <v>3000</v>
      </c>
      <c r="C20" s="9" t="n">
        <v>6000</v>
      </c>
      <c r="D20" s="9" t="n">
        <v>15000</v>
      </c>
      <c r="E20" s="6" t="s">
        <v>16</v>
      </c>
    </row>
    <row r="21" customFormat="false" ht="15" hidden="false" customHeight="false" outlineLevel="0" collapsed="false">
      <c r="A21" s="4" t="s">
        <v>34</v>
      </c>
      <c r="B21" s="9" t="n">
        <v>5000</v>
      </c>
      <c r="C21" s="9" t="n">
        <v>10000</v>
      </c>
      <c r="D21" s="9" t="n">
        <v>20000</v>
      </c>
      <c r="E21" s="6" t="s">
        <v>35</v>
      </c>
    </row>
    <row r="22" customFormat="false" ht="15" hidden="false" customHeight="false" outlineLevel="0" collapsed="false">
      <c r="A22" s="4" t="s">
        <v>36</v>
      </c>
      <c r="B22" s="9" t="n">
        <v>8000</v>
      </c>
      <c r="C22" s="9" t="n">
        <v>5000</v>
      </c>
      <c r="D22" s="9" t="n">
        <v>5000</v>
      </c>
      <c r="E22" s="6" t="s">
        <v>37</v>
      </c>
    </row>
    <row r="23" customFormat="false" ht="15" hidden="false" customHeight="false" outlineLevel="0" collapsed="false">
      <c r="A23" s="4" t="s">
        <v>38</v>
      </c>
      <c r="B23" s="13" t="n">
        <v>0.15</v>
      </c>
      <c r="C23" s="13" t="n">
        <v>0.15</v>
      </c>
      <c r="D23" s="13" t="n">
        <v>0.15</v>
      </c>
      <c r="E23" s="6" t="s">
        <v>16</v>
      </c>
    </row>
    <row r="25" customFormat="false" ht="15" hidden="false" customHeight="false" outlineLevel="0" collapsed="false">
      <c r="A25" s="10" t="s">
        <v>39</v>
      </c>
    </row>
    <row r="26" customFormat="false" ht="15" hidden="false" customHeight="false" outlineLevel="0" collapsed="false">
      <c r="A26" s="4" t="s">
        <v>40</v>
      </c>
      <c r="B26" s="12" t="n">
        <v>0.4</v>
      </c>
      <c r="E26" s="6" t="s">
        <v>41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6" t="s">
        <v>43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5</v>
      </c>
      <c r="E4" s="3" t="s">
        <v>45</v>
      </c>
    </row>
    <row r="5" customFormat="false" ht="15" hidden="false" customHeight="false" outlineLevel="0" collapsed="false">
      <c r="A5" s="10" t="s">
        <v>46</v>
      </c>
    </row>
    <row r="6" customFormat="false" ht="15" hidden="false" customHeight="false" outlineLevel="0" collapsed="false">
      <c r="A6" s="4" t="s">
        <v>47</v>
      </c>
      <c r="B6" s="14" t="n">
        <f aca="false">Assumptions!B5*Assumptions!B6</f>
        <v>30000</v>
      </c>
      <c r="C6" s="14" t="n">
        <f aca="false">Assumptions!C5*Assumptions!C6</f>
        <v>0</v>
      </c>
      <c r="D6" s="14" t="n">
        <f aca="false">Assumptions!D5*Assumptions!D6</f>
        <v>0</v>
      </c>
      <c r="E6" s="14" t="n">
        <f aca="false">SUM(B6:D6)</f>
        <v>30000</v>
      </c>
    </row>
    <row r="7" customFormat="false" ht="15" hidden="false" customHeight="false" outlineLevel="0" collapsed="false">
      <c r="A7" s="4" t="s">
        <v>48</v>
      </c>
      <c r="B7" s="14" t="n">
        <f aca="false">Assumptions!B7*Assumptions!B8*Assumptions!B9*Assumptions!B10</f>
        <v>0</v>
      </c>
      <c r="C7" s="14" t="n">
        <f aca="false">Assumptions!C7*Assumptions!C8*Assumptions!C9*Assumptions!C10</f>
        <v>60000</v>
      </c>
      <c r="D7" s="14" t="n">
        <f aca="false">Assumptions!D7*Assumptions!D8*Assumptions!D9*Assumptions!D10</f>
        <v>240000</v>
      </c>
      <c r="E7" s="14" t="n">
        <f aca="false">SUM(B7:D7)</f>
        <v>300000</v>
      </c>
    </row>
    <row r="8" customFormat="false" ht="15" hidden="false" customHeight="false" outlineLevel="0" collapsed="false">
      <c r="A8" s="4" t="s">
        <v>49</v>
      </c>
      <c r="B8" s="14" t="n">
        <f aca="false">Assumptions!B11*Assumptions!B12*Assumptions!B13*Assumptions!B14</f>
        <v>0</v>
      </c>
      <c r="C8" s="14" t="n">
        <f aca="false">Assumptions!C11*Assumptions!C12*Assumptions!C13*Assumptions!C14</f>
        <v>90000</v>
      </c>
      <c r="D8" s="14" t="n">
        <f aca="false">Assumptions!D11*Assumptions!D12*Assumptions!D13*Assumptions!D14</f>
        <v>360000</v>
      </c>
      <c r="E8" s="14" t="n">
        <f aca="false">SUM(B8:D8)</f>
        <v>450000</v>
      </c>
    </row>
    <row r="9" customFormat="false" ht="15" hidden="false" customHeight="false" outlineLevel="0" collapsed="false">
      <c r="A9" s="15" t="s">
        <v>50</v>
      </c>
      <c r="B9" s="16" t="n">
        <f aca="false">SUM(B6:B8)</f>
        <v>30000</v>
      </c>
      <c r="C9" s="16" t="n">
        <f aca="false">SUM(C6:C8)</f>
        <v>150000</v>
      </c>
      <c r="D9" s="16" t="n">
        <f aca="false">SUM(D6:D8)</f>
        <v>600000</v>
      </c>
      <c r="E9" s="16" t="n">
        <f aca="false">SUM(B9:D9)</f>
        <v>780000</v>
      </c>
    </row>
    <row r="10" customFormat="false" ht="15" hidden="false" customHeight="false" outlineLevel="0" collapsed="false">
      <c r="A10" s="4" t="s">
        <v>51</v>
      </c>
      <c r="B10" s="14" t="n">
        <f aca="false">Assumptions!B15</f>
        <v>0</v>
      </c>
      <c r="C10" s="14" t="n">
        <f aca="false">Assumptions!C15</f>
        <v>0</v>
      </c>
      <c r="D10" s="14" t="n">
        <f aca="false">Assumptions!D15</f>
        <v>0</v>
      </c>
      <c r="E10" s="14" t="n">
        <f aca="false">SUM(B10:D10)</f>
        <v>0</v>
      </c>
    </row>
    <row r="12" customFormat="false" ht="15" hidden="false" customHeight="false" outlineLevel="0" collapsed="false">
      <c r="A12" s="10" t="s">
        <v>28</v>
      </c>
    </row>
    <row r="13" customFormat="false" ht="15" hidden="false" customHeight="false" outlineLevel="0" collapsed="false">
      <c r="A13" s="4" t="s">
        <v>52</v>
      </c>
      <c r="B13" s="17" t="n">
        <f aca="false">Assumptions!B7*Assumptions!B8*Assumptions!B10+Assumptions!B11*Assumptions!B12*Assumptions!B14</f>
        <v>0</v>
      </c>
      <c r="C13" s="17" t="n">
        <f aca="false">Assumptions!C7*Assumptions!C8*Assumptions!C10+Assumptions!C11*Assumptions!C12*Assumptions!C14</f>
        <v>18000</v>
      </c>
      <c r="D13" s="17" t="n">
        <f aca="false">Assumptions!D7*Assumptions!D8*Assumptions!D10+Assumptions!D11*Assumptions!D12*Assumptions!D14</f>
        <v>72000</v>
      </c>
      <c r="E13" s="17" t="n">
        <f aca="false">SUM(B13:D13)</f>
        <v>90000</v>
      </c>
    </row>
    <row r="14" customFormat="false" ht="15" hidden="false" customHeight="false" outlineLevel="0" collapsed="false">
      <c r="A14" s="4" t="s">
        <v>53</v>
      </c>
      <c r="B14" s="14" t="n">
        <f aca="false">B13*Assumptions!B18*Assumptions!B19</f>
        <v>0</v>
      </c>
      <c r="C14" s="14" t="n">
        <f aca="false">C13*Assumptions!C18*Assumptions!C19</f>
        <v>9000</v>
      </c>
      <c r="D14" s="14" t="n">
        <f aca="false">D13*Assumptions!D18*Assumptions!D19</f>
        <v>36000</v>
      </c>
      <c r="E14" s="14" t="n">
        <f aca="false">SUM(B14:D14)</f>
        <v>45000</v>
      </c>
    </row>
    <row r="15" customFormat="false" ht="15" hidden="false" customHeight="false" outlineLevel="0" collapsed="false">
      <c r="A15" s="4" t="s">
        <v>54</v>
      </c>
      <c r="B15" s="14" t="n">
        <f aca="false">Assumptions!B20</f>
        <v>3000</v>
      </c>
      <c r="C15" s="14" t="n">
        <f aca="false">Assumptions!C20</f>
        <v>6000</v>
      </c>
      <c r="D15" s="14" t="n">
        <f aca="false">Assumptions!D20</f>
        <v>15000</v>
      </c>
      <c r="E15" s="14" t="n">
        <f aca="false">SUM(B15:D15)</f>
        <v>24000</v>
      </c>
    </row>
    <row r="16" customFormat="false" ht="15" hidden="false" customHeight="false" outlineLevel="0" collapsed="false">
      <c r="A16" s="4" t="s">
        <v>55</v>
      </c>
      <c r="B16" s="14" t="n">
        <f aca="false">Assumptions!B21</f>
        <v>5000</v>
      </c>
      <c r="C16" s="14" t="n">
        <f aca="false">Assumptions!C21</f>
        <v>10000</v>
      </c>
      <c r="D16" s="14" t="n">
        <f aca="false">Assumptions!D21</f>
        <v>20000</v>
      </c>
      <c r="E16" s="14" t="n">
        <f aca="false">SUM(B16:D16)</f>
        <v>35000</v>
      </c>
    </row>
    <row r="17" customFormat="false" ht="15" hidden="false" customHeight="false" outlineLevel="0" collapsed="false">
      <c r="A17" s="4" t="s">
        <v>56</v>
      </c>
      <c r="B17" s="14" t="n">
        <f aca="false">Assumptions!B22</f>
        <v>8000</v>
      </c>
      <c r="C17" s="14" t="n">
        <f aca="false">Assumptions!C22</f>
        <v>5000</v>
      </c>
      <c r="D17" s="14" t="n">
        <f aca="false">Assumptions!D22</f>
        <v>5000</v>
      </c>
      <c r="E17" s="14" t="n">
        <f aca="false">SUM(B17:D17)</f>
        <v>18000</v>
      </c>
    </row>
    <row r="18" customFormat="false" ht="15" hidden="false" customHeight="false" outlineLevel="0" collapsed="false">
      <c r="A18" s="4" t="s">
        <v>57</v>
      </c>
      <c r="B18" s="14" t="n">
        <f aca="false">B9*Assumptions!B23</f>
        <v>4500</v>
      </c>
      <c r="C18" s="14" t="n">
        <f aca="false">C9*Assumptions!C23</f>
        <v>22500</v>
      </c>
      <c r="D18" s="14" t="n">
        <f aca="false">D9*Assumptions!D23</f>
        <v>90000</v>
      </c>
      <c r="E18" s="14" t="n">
        <f aca="false">SUM(B18:D18)</f>
        <v>117000</v>
      </c>
    </row>
    <row r="19" customFormat="false" ht="15" hidden="false" customHeight="false" outlineLevel="0" collapsed="false">
      <c r="A19" s="15" t="s">
        <v>58</v>
      </c>
      <c r="B19" s="16" t="n">
        <f aca="false">SUM(B14:B18)</f>
        <v>20500</v>
      </c>
      <c r="C19" s="16" t="n">
        <f aca="false">SUM(C14:C18)</f>
        <v>52500</v>
      </c>
      <c r="D19" s="16" t="n">
        <f aca="false">SUM(D14:D18)</f>
        <v>166000</v>
      </c>
      <c r="E19" s="16" t="n">
        <f aca="false">SUM(B19:D19)</f>
        <v>239000</v>
      </c>
    </row>
    <row r="21" customFormat="false" ht="15" hidden="false" customHeight="false" outlineLevel="0" collapsed="false">
      <c r="A21" s="10" t="s">
        <v>59</v>
      </c>
    </row>
    <row r="22" customFormat="false" ht="15" hidden="false" customHeight="false" outlineLevel="0" collapsed="false">
      <c r="A22" s="15" t="s">
        <v>60</v>
      </c>
      <c r="B22" s="16" t="n">
        <f aca="false">B9+B10-B19</f>
        <v>9500</v>
      </c>
      <c r="C22" s="16" t="n">
        <f aca="false">C9+C10-C19</f>
        <v>97500</v>
      </c>
      <c r="D22" s="16" t="n">
        <f aca="false">D9+D10-D19</f>
        <v>434000</v>
      </c>
      <c r="E22" s="16" t="n">
        <f aca="false">SUM(B22:D22)</f>
        <v>541000</v>
      </c>
    </row>
    <row r="23" customFormat="false" ht="15" hidden="false" customHeight="false" outlineLevel="0" collapsed="false">
      <c r="A23" s="4" t="s">
        <v>61</v>
      </c>
      <c r="B23" s="14" t="n">
        <f aca="false">B6+(B7+B8)*Assumptions!$B$26</f>
        <v>30000</v>
      </c>
      <c r="C23" s="14" t="n">
        <f aca="false">C6+(C7+C8)*Assumptions!$B$26</f>
        <v>60000</v>
      </c>
      <c r="D23" s="14" t="n">
        <f aca="false">D6+(D7+D8)*Assumptions!$B$26</f>
        <v>240000</v>
      </c>
      <c r="E23" s="14" t="n">
        <f aca="false">SUM(B23:D23)</f>
        <v>330000</v>
      </c>
    </row>
    <row r="24" customFormat="false" ht="15" hidden="false" customHeight="false" outlineLevel="0" collapsed="false">
      <c r="A24" s="15" t="s">
        <v>62</v>
      </c>
      <c r="B24" s="16" t="n">
        <f aca="false">B23+B10-B19-B18+B23*Assumptions!B23</f>
        <v>9500</v>
      </c>
      <c r="C24" s="16" t="n">
        <f aca="false">C23+C10-C19-C18+C23*Assumptions!C23</f>
        <v>-6000</v>
      </c>
      <c r="D24" s="16" t="n">
        <f aca="false">D23+D10-D19-D18+D23*Assumptions!D23</f>
        <v>20000</v>
      </c>
      <c r="E24" s="16" t="n">
        <f aca="false">SUM(B24:D24)</f>
        <v>23500</v>
      </c>
    </row>
    <row r="26" customFormat="false" ht="39.75" hidden="false" customHeight="true" outlineLevel="0" collapsed="false">
      <c r="A26" s="2" t="s">
        <v>63</v>
      </c>
      <c r="B26" s="2"/>
      <c r="C26" s="2"/>
      <c r="D26" s="2"/>
      <c r="E26" s="2"/>
    </row>
  </sheetData>
  <mergeCells count="1"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7" min="6" style="0" width="44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64</v>
      </c>
    </row>
    <row r="2" customFormat="false" ht="30" hidden="false" customHeight="true" outlineLevel="0" collapsed="false">
      <c r="A2" s="2" t="s">
        <v>65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8" t="s">
        <v>66</v>
      </c>
      <c r="B4" s="18" t="s">
        <v>67</v>
      </c>
      <c r="C4" s="18" t="s">
        <v>68</v>
      </c>
      <c r="D4" s="18" t="s">
        <v>69</v>
      </c>
      <c r="E4" s="18" t="s">
        <v>70</v>
      </c>
      <c r="F4" s="18" t="s">
        <v>71</v>
      </c>
      <c r="G4" s="18" t="s">
        <v>72</v>
      </c>
      <c r="H4" s="18" t="s">
        <v>73</v>
      </c>
    </row>
    <row r="5" customFormat="false" ht="78" hidden="false" customHeight="true" outlineLevel="0" collapsed="false">
      <c r="A5" s="19" t="s">
        <v>74</v>
      </c>
      <c r="B5" s="19" t="s">
        <v>75</v>
      </c>
      <c r="C5" s="19" t="s">
        <v>76</v>
      </c>
      <c r="D5" s="19" t="s">
        <v>77</v>
      </c>
      <c r="E5" s="19" t="s">
        <v>78</v>
      </c>
      <c r="F5" s="19" t="s">
        <v>79</v>
      </c>
      <c r="G5" s="19" t="s">
        <v>80</v>
      </c>
      <c r="H5" s="19" t="s">
        <v>81</v>
      </c>
    </row>
    <row r="6" customFormat="false" ht="78" hidden="false" customHeight="true" outlineLevel="0" collapsed="false">
      <c r="A6" s="19" t="s">
        <v>82</v>
      </c>
      <c r="B6" s="19" t="s">
        <v>83</v>
      </c>
      <c r="C6" s="19" t="s">
        <v>84</v>
      </c>
      <c r="D6" s="19" t="s">
        <v>85</v>
      </c>
      <c r="E6" s="19" t="s">
        <v>86</v>
      </c>
      <c r="F6" s="19" t="s">
        <v>87</v>
      </c>
      <c r="G6" s="19" t="s">
        <v>88</v>
      </c>
      <c r="H6" s="19" t="s">
        <v>89</v>
      </c>
    </row>
    <row r="7" customFormat="false" ht="78" hidden="false" customHeight="true" outlineLevel="0" collapsed="false">
      <c r="A7" s="19" t="s">
        <v>90</v>
      </c>
      <c r="B7" s="19" t="s">
        <v>91</v>
      </c>
      <c r="C7" s="19" t="s">
        <v>84</v>
      </c>
      <c r="D7" s="19" t="s">
        <v>92</v>
      </c>
      <c r="E7" s="19" t="s">
        <v>93</v>
      </c>
      <c r="F7" s="19" t="s">
        <v>94</v>
      </c>
      <c r="G7" s="19" t="s">
        <v>95</v>
      </c>
      <c r="H7" s="19" t="s">
        <v>96</v>
      </c>
    </row>
    <row r="8" customFormat="false" ht="78" hidden="false" customHeight="true" outlineLevel="0" collapsed="false">
      <c r="A8" s="19" t="s">
        <v>97</v>
      </c>
      <c r="B8" s="19" t="s">
        <v>98</v>
      </c>
      <c r="C8" s="19" t="s">
        <v>84</v>
      </c>
      <c r="D8" s="19" t="s">
        <v>99</v>
      </c>
      <c r="E8" s="19" t="s">
        <v>100</v>
      </c>
      <c r="F8" s="19" t="s">
        <v>101</v>
      </c>
      <c r="G8" s="19" t="s">
        <v>102</v>
      </c>
      <c r="H8" s="19" t="s">
        <v>103</v>
      </c>
    </row>
    <row r="9" customFormat="false" ht="78" hidden="false" customHeight="true" outlineLevel="0" collapsed="false">
      <c r="A9" s="19" t="s">
        <v>104</v>
      </c>
      <c r="B9" s="19" t="s">
        <v>105</v>
      </c>
      <c r="C9" s="19" t="s">
        <v>84</v>
      </c>
      <c r="D9" s="19" t="s">
        <v>106</v>
      </c>
      <c r="E9" s="19" t="s">
        <v>107</v>
      </c>
      <c r="F9" s="19" t="s">
        <v>108</v>
      </c>
      <c r="G9" s="19" t="s">
        <v>109</v>
      </c>
      <c r="H9" s="19" t="s">
        <v>110</v>
      </c>
    </row>
    <row r="10" customFormat="false" ht="78" hidden="false" customHeight="true" outlineLevel="0" collapsed="false">
      <c r="A10" s="19" t="s">
        <v>111</v>
      </c>
      <c r="B10" s="19" t="s">
        <v>112</v>
      </c>
      <c r="C10" s="19" t="s">
        <v>113</v>
      </c>
      <c r="D10" s="19" t="s">
        <v>114</v>
      </c>
      <c r="E10" s="19" t="s">
        <v>115</v>
      </c>
      <c r="F10" s="19" t="s">
        <v>116</v>
      </c>
      <c r="G10" s="19" t="s">
        <v>117</v>
      </c>
      <c r="H10" s="19" t="s">
        <v>118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2026-10-11T07:36:07Z</dcterms:created>
  <dc:creator>openpyxl</dc:creator>
  <dc:description/>
  <dc:language>en-US</dc:language>
  <cp:lastModifiedBy/>
  <dcterms:modified xsi:type="dcterms:W3CDTF">2026-10-11T07:36:07Z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